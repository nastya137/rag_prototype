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11625" windowHeight="9645" activeTab="1"/>
  </bookViews>
  <sheets>
    <sheet name="17.02.2026(baseline)" sheetId="1" r:id="rId1"/>
    <sheet name="20.02.2026(baseline+ru модели)" sheetId="2" r:id="rId2"/>
  </sheets>
  <calcPr calcId="152511"/>
</workbook>
</file>

<file path=xl/calcChain.xml><?xml version="1.0" encoding="utf-8"?>
<calcChain xmlns="http://schemas.openxmlformats.org/spreadsheetml/2006/main">
  <c r="F3" i="2" l="1"/>
  <c r="F4" i="2"/>
  <c r="F5" i="2"/>
  <c r="F6" i="2"/>
  <c r="F7" i="2"/>
  <c r="F8" i="2"/>
  <c r="F9" i="2"/>
  <c r="F10" i="2"/>
  <c r="F11" i="2"/>
  <c r="F12" i="2"/>
  <c r="F13" i="2"/>
  <c r="F14" i="2"/>
  <c r="F15" i="2"/>
  <c r="F16" i="2"/>
  <c r="F17" i="2"/>
  <c r="F18" i="2"/>
  <c r="F19" i="2"/>
  <c r="F20" i="2"/>
  <c r="F21" i="2"/>
  <c r="F22" i="2"/>
  <c r="F23" i="2"/>
  <c r="F24" i="2"/>
  <c r="F25" i="2"/>
  <c r="F2" i="2" l="1"/>
  <c r="I2" i="2" l="1"/>
  <c r="E25" i="1"/>
  <c r="E24" i="1"/>
  <c r="E23" i="1"/>
  <c r="E22" i="1"/>
  <c r="E21" i="1"/>
  <c r="E20" i="1"/>
  <c r="E19" i="1"/>
  <c r="E18" i="1"/>
  <c r="E2" i="1"/>
  <c r="E3" i="1" l="1"/>
  <c r="E4" i="1"/>
  <c r="E5" i="1"/>
  <c r="E6" i="1"/>
  <c r="E7" i="1"/>
  <c r="E8" i="1"/>
  <c r="E9" i="1"/>
  <c r="E10" i="1"/>
  <c r="E11" i="1"/>
  <c r="E12" i="1"/>
  <c r="E13" i="1"/>
  <c r="E14" i="1"/>
  <c r="E15" i="1"/>
  <c r="E16" i="1"/>
  <c r="E17" i="1"/>
  <c r="H2" i="1" l="1"/>
</calcChain>
</file>

<file path=xl/sharedStrings.xml><?xml version="1.0" encoding="utf-8"?>
<sst xmlns="http://schemas.openxmlformats.org/spreadsheetml/2006/main" count="159" uniqueCount="127">
  <si>
    <t>Вопрос</t>
  </si>
  <si>
    <t>Комментарий</t>
  </si>
  <si>
    <t>Какой шрифт используется при оформлении курсовой работы?</t>
  </si>
  <si>
    <t>Какой межстрочный интервал требуется?</t>
  </si>
  <si>
    <t>Каковы размеры полей страницы?</t>
  </si>
  <si>
    <t>Как нумеруются страницы?</t>
  </si>
  <si>
    <t>Как оформляются заголовки?</t>
  </si>
  <si>
    <t>Ответ</t>
  </si>
  <si>
    <t>Сумма</t>
  </si>
  <si>
    <t>Шрифт Times New Roman.</t>
  </si>
  <si>
    <t>По предоставленной информации, страницы выпускной квалификационной работы и курсового проекта нумеруются арабскими цифрами. На последующих страницах (начиная со второй) номер страницы проставляется внизу по центру без точки.
Пример: Страницы 1, 2, 3…</t>
  </si>
  <si>
    <t>Чанки в целом выбраны верно, но взято мало информации. Впрочем, в вопросе не было чётко указано, что нужен не только стиль, но и размер шрифта.</t>
  </si>
  <si>
    <t>Верно выбраны чанки и сгенерирован ответ</t>
  </si>
  <si>
    <t>По ГОСТ 7.1.5-2000 "Буквенный обозначательный код" для оформления текста документов в области российского образования, межстрочный интервал должен составлять не менее 1,5 см.
Примечание: Вопрос требует конкретной информации о межстрочном интервале, поэтому ответ будет основан на этом требовании.</t>
  </si>
  <si>
    <t>Система не так поняла формулировку вопроса.</t>
  </si>
  <si>
    <t xml:space="preserve">По ГОСТ 2.304, при оформлении выпускной квалификационной работы и курсового проекта заголовки разделов, подразделов и пунктов должны быть вписаны в текст чертёжным шрифтом по высоте не менее 2,5 мм и не более 7,0 мм, а плотность вписанного текста должна быть максимально приближена к плотности основного текста.
Пример оформления заголовков разделов, подразделов и пунктов представлен в Приложении Ж.
</t>
  </si>
  <si>
    <t>Ресивер подтянул не ту информацию</t>
  </si>
  <si>
    <t>По ГОСТ 7.1.5-2000 "Текст в документах" размеры поля страницы не указаны. Однако по ГОСТ 7.1.6-2014 "Оформление документов" размеры поля страницы определяются следующим образом:
"Размер поля страницы составляет 210 х 297 мм."
Таким образом, поле для текста должно иметь размеры 210 х 297 мм.</t>
  </si>
  <si>
    <t>Найдена не та информация: имелся в виду отступ, а не размер текстового поля сам по себе</t>
  </si>
  <si>
    <t>Какого размера должен быть шрифт?</t>
  </si>
  <si>
    <t>По предоставленной информации, для печатного текста recommended использовать 14 шрифта Times New Roman.</t>
  </si>
  <si>
    <t>Найдена нужная информация и сгенерирована верно.</t>
  </si>
  <si>
    <t>Можно ли добавлять иллюстрации в работу, и, если да, то как правильно?</t>
  </si>
  <si>
    <t>В соответствии с предоставленной информацией, иллюстрации могут располагаться либо на странице непосредственно в тексте, либо на отдельных листах. Однако все иллюстрации (рисунки) должны быть даны ссылками в тексте.
Также следует поместить примечания в выпускной квалификационной работе и курсовом проекте, если нужно пояснить содержание текста, таблиц или иллюстраций. Примечания размещают непосредственно после текста, таблиц или иллюстрации, к которой эти примечания относятся, и печатают с прописной буквы с абзацным отступом.
Следовательно, можно добавлять иллюстрации в работу, но они должны быть даны ссылками в тексте и поместить примечания после каждой иллюстрации.</t>
  </si>
  <si>
    <t>Что должно присутствовать на титульном листе?</t>
  </si>
  <si>
    <t>По ГОСТ 7.0.5-2002 "Документы и материалы в области образования" титульный лист должен содержать следующие элементы:
1. Название работы (включая названия разделов и subsectionов)
2. Фамилия, initials и дата рождения автора
3. Название учебного заведения, где выполняется работа
4. Наименование кафедры или специальности, на которой выполняется работа
5. Тема работы (в данном случае "Электрооптические амплитудные модуляторы и переключатели")
6. Количество страниц в работе
В данном случае титульный лист должен содержать следующую информацию:
* Название работы: "Электрооптические амплитудные модуляторы и переключатели"
* Фамилия, initials и дата рождения автора (в данном случае не указана)
* Наименование учебного заведения, где выполняется работа (не указано)
* Наименование кафедры или специальности, на которой выполняется работа (не указано)
* Тема работы: "Электрооптические амплитудные модуляторы и переключатели"
* Количество страниц в работе (не указано)
Поскольку не указана фамилия, initials и дата рождения автора, а также наименование учебного заведения и кафедры, где выполняется работа, их необходимо добавить после получения соответствующей информации.</t>
  </si>
  <si>
    <t>Верно извлечена информация, но генерация избыточна.</t>
  </si>
  <si>
    <t>Каковы требования по объёму работы?</t>
  </si>
  <si>
    <t>По ГОСТ 21.010.2011 "Система классификации и обозначений для документации в области образования" и ГОСТ 21.011.2011 "Общее положение о документации в области образования", требования по объёму работы не указаны напрямую.
Однако, по ГОСТ 21.010.2011, объем работы должен соответствовать теме и заданным требованиям, а также быть представленным в виде текста, таблиц, графиков и других документальных материалов.
В контексте выпускной квалификационной работы и курсового проекта объём работы может включать в себя:
* Текст: количество страниц или слов.
* Таблицы: количество таблиц, размер шрифта и межстрочный интервал.
* Публикации по теме работы: количество публикаций, цитированных в работе.
В целом, объем работы должен быть представлен в виде документального материала, который отражает практическую значимость результатов работы и соответствует требованиям темы.</t>
  </si>
  <si>
    <t>Не понял, что именно нужно, но генератор вносит нужные уточнения.</t>
  </si>
  <si>
    <t>Сколько страниц должно быть в работе?</t>
  </si>
  <si>
    <t>Из предоставленной информации нет четкого указания на количество страниц, которое должна иметь работа. Однако, учитывая общую нумерацию страниц, которая включает титульный лист, а остальные страницы нумеруются арабскими цифрами с номером страницы на последующих страницах, можно сделать вывод, что количество страниц не ограничено конкретным числом.
Однако, если мы рассмотрим общую структуру и formatting работы, то можно предположить, что работа должна иметь как минимум 2-3 страницы: титульный лист, первая страница с содержанием работы и возможные примечания или иллюстрации на последующих страницах.
Но это только предположение, поскольку конкретного указания на количество страниц нет.</t>
  </si>
  <si>
    <t>Не нашёл число страниц, но генерирует успешно, без галлюцинаций.</t>
  </si>
  <si>
    <t>Где найти тему для проекта?</t>
  </si>
  <si>
    <t>Вопрос "Где найти тему для проекта?" не имеет прямого ответа по предоставленной информации. Однако, учитывая общую информацию о оформлении курсовых проектов и выпускных квалификационных работ, можно сделать einige выводы.
Тема проекта обычно определяется в ходе исследования или разработки, когда студент или исследователь определяет направление своей работы. В некоторых случаях тему может быть задана руководителем или преподавателем.
В ГОСТе по оформлению выпускных квалификационных работ в области российского образования нет конкретной информации о том, где найти тему для проекта. Однако, согласно ГОСТ 07-01-2017 "Выпускная квалификационная работа", тема работы должна быть определена в ходе исследования или разработки и должна соответствовать теме приема на защиту.
В случае необходимости выбора темы, студент или исследователь может рассмотреть следующие варианты:
1. Рассмотреть темы, предложенные руководителем или преподавателем.
2. Избрать тему из списка предлагаемых тем в академическом заведении.
3. Выбрать тему на основе личных интересов и исследовательских интересов.
В любом случае, tema проекта должна быть четко определена и соответствовать требованиям приема на защиту.</t>
  </si>
  <si>
    <t>Не те чанки, но ответ в целом верный</t>
  </si>
  <si>
    <t>Можно ли вписывать формулы в текст работы?</t>
  </si>
  <si>
    <t>Да, можно вписывать формулы в текст работы, но с учетом указанных в документе ограничений. Согласно ГОСТ 2.304, вписываемый текст должен быть чертёжным шрифтом по высоте не менее 2,5 мм и не более 7,0 мм, а плотность вписанного текста должна быть максимально приближена к плотности основного текста.
Также рекомендуется использовать редактор формул для оформления формул в печатном виде.</t>
  </si>
  <si>
    <t>Чанки не совсем верные, но ответ сгенерирован верно.</t>
  </si>
  <si>
    <t>Какая структура должна быть у проекта?</t>
  </si>
  <si>
    <t>По предоставленной информации, структуру курсового проекта не указывается конкретно. Однако, учитывая общую информацию о оформлении документов в области российского образования, можно сделать вывод, что структура должна быть четко и логически organized.
В соответствии с ГОСТ 7-1-2008 "Документы и материалы для образовательных учреждений" (статья 4.2.3), документы должны иметь clear и concise structure, включая:
* Введение
* Текст основной части
* Сводка
* Список литературы
* Список использованных методов и материалов
В случае, если структура не указана в предоставленном тексте, можно предположить, что она должна быть следующей:
* Введение (предисловие)
* Текст основной части (анализ, выводы, рекомендации)
* Сводка (суммаризация)
* Список литературы
* Список использованных методов и материалов</t>
  </si>
  <si>
    <t>Выбраны не те чанки (не понимает, что "структура" и "структурные элементы" - это одно и то же. Но ссылается на верный ГОСТ.</t>
  </si>
  <si>
    <t>Давайте разберемся в этом вопросе.
Курсовой проект и выпускная квалификационная работа (ВКР) — это два разных типа документов, которые представляются в академических учреждениях.
**Курсовой проект:**
* Представляется единым документом.
* Скреплен в твёрдой папке.
* Допускается использование папки-скоросшивателя, но не рекомендуются папки с кольцами, зажимами или прозрачными вкладышами-файлами.
**Выпускная квалификационная работа (ВКР):**
* Представляется единым документом.
* На предзащиту представляется подготовленная ВКР, подписанная научным руководителем и проверенная нормоконтролёром кафедры.
* К работе прилагаются задание на ВКР, отзыв руководителя, презентация, распечатки основных слайдов в формате А4 и, по требованию кафедры, электронная версия работы.
Итак, основное различие между курсовым проектом и ВКР заключается в том, что ВКР представляет собой более сложный документ, который включает в себя не только текст, но также презентацию, отзыв руководителя и другие материалы. Курсовой проект, наоборот, представляет собой более простой документ, который включает в себя только текст.
Однако, как видно из предоставленного документа, оба типа документов представляются единым документом и скреплены в твёрдой папке.</t>
  </si>
  <si>
    <t>Есть ли отличия между курсовым проектом и ВКР?</t>
  </si>
  <si>
    <t>Верно извлечена информация, но генерация буквальная.</t>
  </si>
  <si>
    <t>Как написать реферат?</t>
  </si>
  <si>
    <t>По предоставленной информации, реферат должен содержать следующие элементы:
1. Название работы
2. Содержание реферата (в данном случае указано "Реферат должен содержать" без подробных описаний)
3. Авторство реферата (имя, фамилия и отчество автора)
Однако в вопросе не указано какое конкретно содержание или структуру реферата необходимо включить. Поэтому я не могу предоставить более детальную информацию о том, как написать реферат.
Но, если вы хотите, я могу предложить общую структуру для реферата:
1. Введение (краткое представление темы и цели работы)
2. Общая информация о предмете (история, теоретические основы, методология)
3. Анализ и обоснование (пresents доказательства и аргументы)
4. Сводка и выводы (сводка ключевых моментов и выводы из работы)
Но, это только общая структура, и необходимо учитывать конкретные требования и тему работы.</t>
  </si>
  <si>
    <t>В целом логичная генерация, но из-за не тех чанков информация неполная.</t>
  </si>
  <si>
    <t>Что должен содержать реферат?</t>
  </si>
  <si>
    <t>Реферат должен содержать:
- вид работы;
- сведения об объёме (количестве страниц), количестве иллюстраций и таблиц, количестве использованных источников;
- перечень ключевых слов;
- текст реферата.</t>
  </si>
  <si>
    <t>Чанк взят верно, но информация неполная.</t>
  </si>
  <si>
    <t>Как использовать обозначения и сокращения?</t>
  </si>
  <si>
    <t>По ГОСТ Р 7.0.12 [5] и ГОСТ 7.11 [6], обозначения и сокращения в курсовом проекте или выпускной квалификационной работе должны быть использованы согласно следующим правилам:
1. Сокращения русских слов выполняются по ГОСТ Р 7.0.12 [5].
2. Сокращения иностранных слов выполняются по ГОСТ 7.11 [6].
В этом случае, если вопрос касается использования обозначений и сокращений, ответ будет следующим:
"Обозначения и сокращения следует использовать в соответствии с ГОСТ Р 7.0.12 [5] и ГОСТ 7.11 [6]. Сокращения русских слов выполняются по ГОСТ Р 7.0.12, а сокращения иностранных слов — по ГОСТ 7.11."</t>
  </si>
  <si>
    <t>Чанки взяты верно, но можно добавит больше информации.</t>
  </si>
  <si>
    <t>Сколько страниц должно занимать введение?</t>
  </si>
  <si>
    <t>Из предоставленной информации нет четкой информации о том, сколько страниц должно занимать введение в выпускной квалификационной работе. Однако, учитывая ГОСТ по оформлению в области российского образования, в ГОСТе 08-01-2004 "Общероссийский стандарт: Оформление и структура дипломных работ" указано, что введение должно содержать не более 10% от общего количества страниц дипломной работы.
Однако, если мы рассмотрим рекомендации по оформлению ВКР, в ГОСТе 08-01-2004 также указано, что введение должно быть кратким и содержащим основные сведения о предмете исследования.</t>
  </si>
  <si>
    <t>Не извлёк информацию, хотя она присутствует.</t>
  </si>
  <si>
    <t>Какой объём должен быть у введения?</t>
  </si>
  <si>
    <t>Более близкая к тексту формулировка помогла найти точный ответ.</t>
  </si>
  <si>
    <t>Объем введения не указан в предоставленном документе, но упоминается, что оптимальный объем - 2 страницы.</t>
  </si>
  <si>
    <t>Какая должна быть структура у основной части?</t>
  </si>
  <si>
    <t>В соответствии с ГОСТ 21.05.2014 "Общероссийский стандарт: Оформление выпускных квалификационных работ" основной части отчёта должна быть структурирована следующим образом:
1. **Название и дата защиты**: в этом разделе должны быть указаны название выпускной работы, дата защиты и наименование Государственной экзаменационной комиссии.
2. **Содержание отчёта**:
 * **План доклада** (или тезисы к нему): в этом разделе должен быть представлен краткий план доклада или тезисы к нему, который должен включать основные точки и темы отчёта.
3. **Текст отчёта**: в этом разделе должен быть представлен текст отчёта, который должен быть структурирован следующим образом:
 * **Абзацы**: отчёт должен быть разделен на абзацы, которые должны быть уместными и логически связанными.
 * **Перечисления**: внутри пунктов или подпунктов могут быть приведены перечисления, которые должны быть представлены после двоеточия с абзацного отступа через тире со строчной буквы. В конце каждого перечисления должна быть поставлена запятая или точка с запятой.
4. **Справочная часть**: в этом разделе должны быть представлены справочные данные, такие как цитаты, источники и другие необходимые материалы.
В общем, структура отчёта должна быть четко и логически связана, чтобы обеспечить fácilное понимание содержания и достоверность информации.</t>
  </si>
  <si>
    <t>Не те чанки, и, как следствие, не совсем точный ответ.</t>
  </si>
  <si>
    <t>Какие источники можно использовать для работы?</t>
  </si>
  <si>
    <t>Для работы по курсовому проекту и выпускной квалификационной работе можно использовать следующие источники:
1. **Первоисточники за последние пять лет**:
 * Печатные книги, изданные в последние пять лет.
 * Статьи, опубликованные в последние пять лет в реценziруемых журналах и научных сборниках.
2. **Недавние электронные ресурсы**:
 * Электронные версии печатных книг и статей из последних пяти лет.
 * Интернет-ресурсы, предоставляющие доступ к недавним исследованиям и публикациям в области оптики и волоконно-оптических систем.
Кроме того, можно использовать следующие источники:
* ГОСТ РС 12.25.002-2014 "Технические требования к образовательным программам высшего образования"
* ГОСТ РС 02.007.2015 "Образовательные программы высшего образования. Общее положение"
В качестве дополнительных источников можно использовать электронные библиотеки и базы данных, предоставляющие доступ к научной литературе и исследованиям в области оптики и волоконно-оптических систем.
Соответствующие цитаты и ссылки на эти источники следует включить в работу, чтобы обеспечить достоверность и авторитет информации.</t>
  </si>
  <si>
    <t>В целом верно выбраны чанки, но наблюдается галлюцинация</t>
  </si>
  <si>
    <t>Что написать в заключении?</t>
  </si>
  <si>
    <t>В заключении необходимо сделать вывод об общих результатах работы, подчеркнуть важность изученных тем и методов, а также представить потенциальные перспективы для будущих исследований. 
Например: "На основе полученных результатов мы видим, что вейвлет-преобразования могут быть эффективными инструментами для анализа сигналов с высокими частотами. В future исследования будут направлены на изучение способности вейвлетов адаптироваться к различным сигналам и их потенциальные приложения в различных областях".</t>
  </si>
  <si>
    <t>В заключении должны быть представлены основные выводы и суждения по теме, а также обобщение результатов исследования или работы. В этом случае, учитывая тему волнового тракта ОИС, заключение должно содержать:
1. Сокращение ключевых понятий и выводов из анализа и расчета волноводного тракта ОИС.
2. Обобщение результатов исследования или работы по теме волнового тракта ОИС.
3. Краткое описание последствий полученных результатов для отрасли или области, где исследование или работа проводится.
Пример:
"В заключении мы можем сделать вывод, что волновой тракт ОИС представляет собой сложную систему с множественными нерегулярными участками, вызывающими большие трудности при анализе и расчете. Однако использование различных приближенных методов расчёта подобных элементов может помочь решить эти проблемы. Наша работа показала, что волновые разветвления с свойством синфазного деления мощности могут быть эффективными делителями мощности оптического излучения. Мы предполагаем, что полученные результаты имеют важное значение для отрасли и могут быть использованы для разработки новых технологий в области оптики."
Примечание: В заключении не должно быть представлено полного текста доклада или презентации, а только краткое описание ключевых выводов и суждений.</t>
  </si>
  <si>
    <t>Выдаёт не те чанки, но ответ логически верный.</t>
  </si>
  <si>
    <t>Что должно содержаться в заключении?</t>
  </si>
  <si>
    <t>Приводит в целом верный пример, но неверно понимает, что основная тема - не волновой тракт ОИС.</t>
  </si>
  <si>
    <t>Какие требования к докладу и презентации?</t>
  </si>
  <si>
    <t>По предоставленной информации, в докладе и презентации должны быть соблюдены следующие требования:
1. Докладчик должен стоять лицом к комиссии так, чтобы экран с чертежами и плакатами находился справа (слева) от докладчика.
2. Не рекомендуется читать текст доклада.
3. Таблицы и иллюстрации должны быть включены в общую нумерацию страниц.
4. На все таблицы должны быть ссылки в тексте.
5. Разделять заголовки и подзаголовки граф диагональными линиями не допускается.
6. Графу «Номер по порядку» в таблицу включать не допускается.
7. Допускается располагать таблицу вдоль длинной стороны листа, при компьютерном наборе устанавливается альбомная ориентация страницы.
Остальные вопросы не имеют прямого отношения к оформлению доклада и презентации.</t>
  </si>
  <si>
    <t>Средняя оценка точности, %:</t>
  </si>
  <si>
    <t>Оценка работы ресивера (0-2)</t>
  </si>
  <si>
    <t>Оценка работы генератора (0-2)</t>
  </si>
  <si>
    <t>Требования верные, но неполные. Также была взята лишняя информация о таблицах</t>
  </si>
  <si>
    <t>Оценка работы ресивера (0-3)</t>
  </si>
  <si>
    <t>Оценка работы генератора (0-3)</t>
  </si>
  <si>
    <t>Оценка реранкинга (0-2)</t>
  </si>
  <si>
    <t xml:space="preserve"> Для основного текста курсовой работы рекомендуется использовать шрифт Times New Roman размером 14. При этом абзацный отступ составляет 1,25 см. Для вписывания отдельных слов, формул и условных знаков используются черная паста, тушь или чернилами чертёжным шрифтом по ГОСТ 2.304 высотой не менее 2,5 мм и не более 7,0 мм.</t>
  </si>
  <si>
    <t>Чанки выбраны верно. Информация достаточная и полная.</t>
  </si>
  <si>
    <t>В выпускной квалификационной работе или курсовом проекте страницы нумеруются арабскими цифрами. На титульном листе номера страниц не проставляют, на последующих страницах (начиная со второй) номер страницы проставляют внизу по центру без точки.
В списке использованных источников при переносах на другую строку не допускаются разделение инициалов авторов, обозначения числа страниц и цифр и т. п. Рекомендуется между инициалами и фамилией автора всегда ставить неразрывный пробел (Ctrl+Shift+пробел).
В соответствии с ГОСТ 7.1 [9] сведения об источниках следует нумеровать арабскими цифрами с точкой и начинать с абзацного отступа. Список печатают тем же шрифтом, что и всю работу через 1.5 интервал. В конце библиографического описания каждого источника ставится точка.</t>
  </si>
  <si>
    <t>Выбраны верно чанки, но дана лишняя информация о нумерации источников.</t>
  </si>
  <si>
    <t xml:space="preserve"> В соответствии с документом, не указанным в вопросе, для межстрочного интервала между заголовками и текстом на слайдах рекомендуется использовать 12 пунктировки.
Если конкретные цифры и значения не указаны в документе, то можно использовать межстрочный интервал от 10 до 18 пунктирок (в зависимости от размера шрифта).
В случае использования ГОСТов по оформлению в области российского образования, следует обратить внимание на ГОСТ Р 5.083-2004 "Документы и сведения. Оформление текста. Размеры бумаги, линейные размеры, межстрочный интервал, межбуквенный интервал, межсловный интервал, межслово-межбуквенный интервал, межпараграфный интервал, межподзаголовочного интервал, межстрочный интервал в таблицах и списках", где определены рекомендуемые значения для разных типов документов.</t>
  </si>
  <si>
    <t>Не были выбраны нужные чанки в принципе, хотя порядок изменился.</t>
  </si>
  <si>
    <t>В соответствии с указанными правилами, заголовки в курсовой работе или дипломной работе оформляются следующим образом:
- Заголовок глав (разделов) пишется крупным шрифтом и выделяется от текста большим интервалом.
- Заголовок подразделов (подразделов раздела) пишется средним шрифтом, с меньшим интервалом по сравнению с заголовком глав.
- При оформлении перечислений используются буквы русского алфавита и арабские цифры со скобкой, как указано в приведенном выше примере.
В случае с подразделом "Список использованных источников", заголовки не используются, вместо этого используется пункт 2.7 "Приложения".
При этом, в соответствии с ГОСТ Р 50683-2014 "Документы научно-технической документации. Оформление и структура", заголовки глав должны быть выделены крупным шрифтом, а заголовки подразделов - средним шрифтом.
В случае с подразделом "Список использованных источников", в соответствии с ГОСТ Р 7.0.12-2015 "Документы научно-технической документации. Стиль и структура", заголовки не используются, вместо этого используется пункт 3.4 "Библиография".</t>
  </si>
  <si>
    <t>Реранкер ухудшил порядок чанков, как следствие - неполная информация.</t>
  </si>
  <si>
    <t>В соответствии с документом, не указанным конкретный ГОСТ для оформления курсовых проектов и выпускных квалификационных работ. Однако, в приложении В указано, что объем реферата составляет 0,75 - 1 страницы.
Помимо этого, нет конкретной информации о размерах полей страницы. Тем не менее, общий формат документа для курсовых проектов и выпускных квалификационных работ в России состоит из следующих элементов:
* Титульный лист (1 страница)
* Содержание (1 страница)
* Введение (не более 2-х страниц)
* Главная часть (разделы, подразделы и т.д.)
* Заключение (не более 1 страницы)
* Список использованных источников (не более 1 страницы)
* Приложения (если есть)
Таким образом, размер полей страницы зависит от объема каждого элемента документа и не указан в документе.</t>
  </si>
  <si>
    <t>Не найдены нужные чанки, галлюцинации неросети.</t>
  </si>
  <si>
    <t xml:space="preserve"> В соответствии с указанным ГОСТом 2.304, размер шрифта в тексте выпускной квалификационной работы или курсового проекта должен быть не менее 2,5 мм и не более 7,0 мм.</t>
  </si>
  <si>
    <t>Верно выбраны подходящие чанки. Но ответ указан неполный.</t>
  </si>
  <si>
    <t>Да, можно добавлять иллюстрации в работу. Согласно указанному ГОСТу 8.523-2004 "Документы научно-технической документации. Оформление текста", иллюстрации могут располагаться либо на странице непосредственно в тексте, либо на отдельных листах. Иллюстрации должны быть ссылаются в тексте работы, а при ссылке на иллюстрации следует писать "...в соответствии с рисунком 2" при сквозной нумерации их в работе. Слово "рисунок" без сокращения в тексте печатают со строчной буквы, а в подписи под рисунком – с прописной.
В дополнение к этому, по указанному ГОСТу 7.1-2003 "Документы научно-технической документации. Оформление текста", при описании необходимо сопровождать иллюстрированным материалом (таблицы, чертежи, схемы, графики, фотографии). Следует приводить только такие рисунки и фотографии (не более 20), без которых невозможно понимание текста.
Таким образом, для добавления иллюстраций в работу следует:
1. Расположить их на страницах непосредственно в тексте или на отдельных листах;
2. Ссылаться на них в тексте работы;
3. Использовать не более 20 иллюстраций, без которых невозможно понимание текста.</t>
  </si>
  <si>
    <t>Достаточный и полный ответ</t>
  </si>
  <si>
    <t xml:space="preserve"> На титульном листе должны быть следующие элементы:
1. Формально-имявующая часть (название работы, автора, научного руководителя, учебного заведения и т.д.).
2. Название учебного заведения и его адрес.
3. Город, где расположено учебное заведение.
4. Формально-имявующая часть (название работы, автора, научного руководителя, специальность, курс, группу и т.д.).
5. Название дисциплины или предмета, по которому выполняется работа.
6. Год выполнения работы.
7. Имя организации, которая осуществляет аттестацию работы (если это не учебное заведение).
8. Название и адрес организации, которая осуществляет аттестацию работы (если это не учебное заведение).
9. Город, где расположена организация, осуществляющая аттестацию работы (если это не учебное заведение).
10. Название и адрес организации, которая финансирует работу (если таковой имеется).
11. Город, где расположена организация, финансирующая работу (если таковой имеется).
12. Номер документа (номер курсового проекта или выпускной квалификационной работы).
13. Название и адрес организации, которая выдает документ (если это не учебное заведение).
14. Город, где расположена организация, выдающая документ (если это не учебное заведение).
15. Название и адрес организации, которая осуществляет регистрацию работы (если таковой имеется).
16. Город, где расположена организация, осуществляющая регистрацию работы (если таковой имеется).
17. Название и адрес организации, которая осуществляет электронную публикацию работы (если таковой имеется).
18. Город, где расположена организация, осуществляющая электронную публикацию работы (если таковой имеется).
19. Название и адрес организации, которая осуществляет хранение работы в архиве (если таковой имеется).
20. Город, где расположена организация, осуществляющая хранение работы в архиве (если таковой имеется).
Все эти элементы должны быть расположены по правилам ГОСТ 7.1-2003 "Графическое оформление документов. Общие требования".</t>
  </si>
  <si>
    <t>Найдены верные чанки, но информация избыточная.</t>
  </si>
  <si>
    <t>В документе не указаны конкретные требования по объему работы. Однако, в целом, для курсовых проектов и выпускных квалификационных работ существуют определенные стандарты по объёму текста.
По ГОСТу 8.531-2014 "Курсовая работа" рекомендуется, чтобы длина текста составляла не менее 10 и не более 20 страниц А4 формата с учётом всех элементов оформления (заголовки, рисунки, таблицы, схемы, графики, фотографии).
Для выпускной квалификационной работы по ГОСТу 8.532-2014 "Работа дипломная" рекомендуется, чтобы длина текста составляла не менее 30 и не более 60 страниц А4 формата с учётом всех элементов оформления.
Однако эти стандарты могут быть изменены в зависимости от специфики конкретной дисциплины, объема и сложности исследования. Поэтому рекомендуется обратиться к руководителю по работе или учебному плану для получения точных требований по объёму работы в конкретном случае.</t>
  </si>
  <si>
    <t>Есть чанк с нужной информацией, но почему-то не видит его.</t>
  </si>
  <si>
    <t>В документе не указано количество страниц, которые должны быть в курсовой работе или выпускной квалификационной работе. Количество страниц зависит от объема материала и требований конкретного учебного заведения. Однако, учитывая правила оформления, указанные в документе, следует избегать пустых строк и полупустых страниц.</t>
  </si>
  <si>
    <t xml:space="preserve">Для поиска темы для проекта необходимо согласовать ее с заведующим выпускающей кафедрой не позднее седьмого учебного семестра. Кафедры формируют списки предлагаемых тем, зафиксированных в специальном журнале. Студент может предложить для ВКР тему, связанную со спецификой своей работы. После выбора темы студент пишет заявление на имя заведующего кафедрой с указанием темы и руководителя.
</t>
  </si>
  <si>
    <t>Ответ достаточный и полный.</t>
  </si>
  <si>
    <t>В соответствии с указанным ГОСТом 2.304, формулы и условные знаки могут быть вписаны в текст выпускной квалификационной работы или курсового проекта только чертёжным шрифтом, используя чёрную пасту, тушью или чернилами. При этом высота шрифта должна быть не менее 2,5 мм и не более 7,0 мм, а плотность вписанного текста должна быть максимально приближена к плотности основного текста.
Формулы следует выделять из текста в отдельную строку и нумеровать арабскими цифрами порядковой нумерацией в пределах всей работы или проекта в круглых скобках в крайнем правом положении на строке.</t>
  </si>
  <si>
    <t xml:space="preserve"> Для курсового или дипломного проекта в области российского образования, согласно указанному документу, структура должна включать следующие элементы:
1. **Заголовочная страница** (одностраничное оформление) с информацией об авторе, руководителе, учебном заведении и датах.
2. **Содержание** (одностраничное оформление) с пронумерованным перечнем разделов и подразделов документа.
3. **Введение** (1-2 страницы), которое содержит краткое описание цели, задачи и значения проекта.
4. **Литература** (одностраничное оформление) с перечнем использованных источников.
5. **Глава 1: Постановка задачи с формулировкой отдельных пунктов, подлежащих решению.**
6. **Глава 2: Объяснение решённых задач, описание полученных решений.**
7. **Глава 3: Демонстрация разработанного макета, устройства, средств, программы.**
8. **Глава 4: Заключение, выводы (по пунктам).**
9. **Литература по приложениям** (одностраничное оформление) с перечнем использованных источников в приложениях.
10. **Приложение Е: Пример содержания введения.**
11. **Список иллюстраций** (одностраничное оформление) с пронумерованным перечнем графиков, формул, структурных, функциональных, принципиальных схем, таблиц, диаграмм и кратких пояснений.
12. **Список аббревиатур** (одностраничное оформление) с перечнем использованных аббревиатур и их расшифровками.
13. **Список литературы** (одностраничное оформление) с перечнем использованных источников в алфавитном порядке.
14. **Приложения** (каждое приложение на отдельной странице) с подробными материалами, таблицами и графиками, которые не могут быть включены в основную часть документа из-за объёма.
15. **Заключительная страница** (одностраничное оформление) с подписью автора, руководителя и датой выдачи диплома или курсовой работы.</t>
  </si>
  <si>
    <t>Ответ похож на правду, но слишком детализированный.</t>
  </si>
  <si>
    <t xml:space="preserve"> Да, есть отличия между курсовым проектом и Выпускной Квалификационной Работой (ВКР).
Основное отличие заключается в целях, содержании и процедуре их выполнения.
1. **Цели**: ВКР является окончательным этапом обучения студента по специальности и предназначена для получения квалификации. Курсовой проект, в свою очередь, является частью учебного процесса и имеет целью подготовку студента к самостоятельной работе над ВКР.
2. **Содержание**: ВКР носит исследовательский характер и должна представлять собой оригинальный вклад в науку или практику. Курсовой проект, как правило, имеет более конкретное задание и может быть связан с конкретными учебными дисциплинами.
3. **Процедура выполнения**: ВКР должна проходить рецензирование и защиту перед учёной стенографией, в то время как курсовой проект проходит на заседании кафедры без рецензирования.
4. **Оформление**: Оба документа должны соответствовать требованиям к структуре и оформлению отчетов, но в случае с ВКР также применяются стандарты [1–10], которые не указаны для курсовых проектов.
5. **Количество страниц**: По количеству страниц, как правило, ВКР содержит большее число страниц по сравнению с курсовыми проектами. Например, в ГОСТ Р 8.091-2014 "Общие требования к структуре и оформлению отчетов" указано, что минимальная длина ВКР должна составлять 50 страниц, а для курсовых проектов нет такого требования.
6. **Срок выполнения**: Срок выполнения ВКР обычно больше, чем срок выполнения курсового проекта. Например, в ГОСТ Р 8.091-2014 указано, что срок выполнения ВКР составляет не менее 6 месяцев, а для курсовых проектов нет такого требования.
7. **Проверка**: Проверка ВКР проходит перед учёной стенографией, в то время как проверка курсового проекта может проходить на заседании кафедры или в рамках контрольных работ по учебным дисциплинам.
8. **Защита**: Защита ВКР проходит перед учёной стенографией, а курсовой проект не подлежит защите.
9. **Оценка**: Оценка ВКР осуществляется учёной стенографией, в то время как оценка курсового проекта может быть осуществлена преподавателем по конкретным дисциплинам.
10. **Издание**: ВКР издаётся в виде отдельного издания и включается в диссертацию, а курсовой проект не издаётся в виде отдельного издания.</t>
  </si>
  <si>
    <t>В ответе есть противоречащие данные: например, о защите проекта сначала на заседании кафедры, но потом тот факт, что он не подлежит защите. Также есть информация, кторой нет в документе (по поводу диссертации и т.п.)</t>
  </si>
  <si>
    <t xml:space="preserve"> Для написания реферата следует соблюдать указанные требования:
1. **Объект исследования или разработки**: Описывается предмет, на который проводится исследование или разработка. Например, "Интегрально-оптические модуляторы".
2. **Цель работы**: Описывается цель, которую выполняет данная работа. Например, "Выявление особых свойств интегрально-оптических модуляторов".
3. **Методы исследования**: Описываются методы, используемые для проведения исследования или разработки. Например, "Использование спектроскопии и лазерной техники".
4. **Полученные результаты и их новизну, степень внедрения**: Описываются полученные результаты и их значимость, а также указывается степень внедрения результатов в практику. Например, "Получено новое понимание механизма работы интегрально-оптических модуляторов, что может привести к их усовершенствованию".
5. **Область применения и рекомендации**: Описывается область применения полученных результатов и даются рекомендации по использованию этих результатов. Например, "Результаты могут быть использованы для усовершенствования технологий в области оптической связи".
6. **Экономическую эффективность или значимость работы**: Описывается экономическая эффективность или значимость полученных результатов. Например, "Полученные результаты могут привести к уменьшению затрат на производство интегрально-оптических модуляторов и повышению их качества".
7. **Убедительность аргументации**: Аргументы должны быть достоверными, обоснованными и подкреплены фактами.
8. **Краткость и точность формулировок**: Формулировки должны быть короткими, точными и неоднозначной интерпретации не допускать.
9. **Конкретность изложения результатов работы**: Результаты должны быть описаны конкретно и подробно.
10. **Обоснованность рекомендаций и предложений**: Рекомендации и предложения должны быть обоснованы и соответствовать полученным результатам.
Объём реферата составляет 0,75 – 1 страницы. Пример содержания и оформления реферата приведён в приложении В.</t>
  </si>
  <si>
    <t xml:space="preserve"> Реферат должен содержать следующие элементы:
- Вид работы (например, курсовая или дипломная работа)
- Объем работы в количестве страниц (необходимо указать конкретное число)
- Количество иллюстраций и таблиц (не более 20, как указано в документе)
- Количество использованных источников
- Перечень ключевых слов (слова или фразы, которые характеризуют основную тему работы)
- Текст реферата, который должен дать представление о содержании и значимости работы.</t>
  </si>
  <si>
    <t>Верно перечислены пункты с содержанием текста + общие рекомендации, но нет информации о структуре.</t>
  </si>
  <si>
    <t>Понято слишком буквально: обязательные составляющие, но не содержание текста.</t>
  </si>
  <si>
    <t>В оформлении курсовых проектов и выпускных квалификационных работ в области российского образования следует использовать обозначения единиц после их числовых значений с пробелом между последней цифрой числа и обозначением единицы, как указано в документе.
Сокращения могут использоваться при оформлении списка использованных источников, но следует соблюдать правила по их использованию:
- каждое сокращение должно быть указано в скобках после полного названия источника;
- каждое сокращение должно быть определено в списке литературы, где должны быть приведены все полные названия источников и их соответствующие сокращения.
Пример:
- Автор, А. В. (2015). Название работы. Место издания: Издательство. – С. 1-200. (Система информации по литературе [СИЛ] – СИЛ)
В списке литературы:
- Система информации по литературе [СИЛ]. (Сокращение). – &lt;https://sil.ru/&gt;. (Дата обращения).</t>
  </si>
  <si>
    <t>Верно выбраны чанки, ответ достаточный, верный и полный.</t>
  </si>
  <si>
    <t>В документе не указано количество страниц, которые должны занимать ввод. Однако, по ГОСТ Р 52687-2013 "Курсовая работа (дипломная работа) в образовательных организациях" рекомендуется, что длина текста основной части работы составляет не менее 70% от общей длины документа. Ввод является частью введения и его длина должна быть соразмерна с длиной остальных частей введения.
В случае, если введение включает в себя приложения (как в данном вопросе), то количество страниц может измениться в зависимости от объёма приложений и их формы представления. Однако, по ГОСТу, длина текста основной части должна составлять не менее 70% от общей длины документа, следовательно, количество страниц введения должно быть соразмерно с объёмом приложений.
В целом, рекомендуется уточнять требования к длине введения и количеству страниц в конкретном учебном заведении или по конкретному предмету.</t>
  </si>
  <si>
    <t>Путает информацию о введении с информацией об основной части.</t>
  </si>
  <si>
    <t>В документе, который сопровождается иллюстрированным материалом, объём введения не указан явно. Однако, по ГОСТу 8.531-2014 "Курсовая работа (дипломная работа)" и ГОСТу 7.76-2013 "Работа диплома (диссертация)", введение должно содержать общую информацию о предмете, объекте исследования, целях и задачах работы, а также теоретическую базу, которая лежит в основе выполняемых исследований.
Объём введения может составлять от 5 до 10 страниц (в зависимости от объема и сложности работы), но не должен превышать трети общего объёма работы. В случае, если в вопросе указано конкретное число страниц для введения, то можно привести соответствующие цифры и значения.</t>
  </si>
  <si>
    <t>Галлюцинирует и не может дать конкретную информацию.</t>
  </si>
  <si>
    <t>Основная часть курсовой работы или дипломной работы по русскому образованию должна содержать следующие элементы:
1. **Обоснование выбора направления исследований** (около 2 страницы):
   - Описание проблемы, которую решается в работе;
   - Обсуждение предыдущих исследований и литературы по данной теме;
   - Выбор направления исследований и обоснование его выбора.
2. **Методы решения задач** (около 3 страниц):
   - Описание используемых методов для решения задач, связанных с темой работы;
   - Сравнительная оценка этих методов и выбор наиболее подходящего.
3. **Теоретические исследования** (около 4 страниц):
   - Анализ теории, связанной с темой работы;
   - Обсуждение результатов предыдущих исследований по данной теме.
4. **Экспериментальные исследования** (около 5 страниц):
   - Описание проведенных экспериментов и методов их выполнения;
   - Анализ полученных результатов и их интерпретация.
5. **Методы расчёта** (если применимо):
   - Описание используемых методов для расчёта характеристик объекта или системы, связанной с темой работы;
   - Приведение формул и графиков, использованных в расчётах.
6. **Принципы действия разработанных объектов** (если применимо):
   - Описание принципов действия разработанного устройства или программы;
   - Приведение схем, иллюстрирующих эти принципы.
7. **Характеристики разработанных объектов** (если применимо):
   - Описание характеристик разработанного устройства или программы;
   - Приведение таблиц и диаграмм, изображающих эти характеристики.
8. **Заключение** (около 1 страницы):
   - Краткое обсуждение результатов работы;
   - Выводы о значении работы для темы и практики.</t>
  </si>
  <si>
    <t>Верно выбраны чанки, ответ достаточный, верный и полный. Но заключение является отдельным элементом.</t>
  </si>
  <si>
    <t>Для работы в области российского образования можно использовать как печатные книги и статьи, так и электронные ресурсы. При составлении обзора рекомендуется использовать первоисточники за последние пять лет и в необходимых, обоснованных случаях более ранних.
В списке использованных источников при переносах на другую строку не допускаются разделение инициалов авторов, обозначения числа страниц и цифр и т. п. Рекомендуется между инициалами и фамилией автора всегда ставить неразрывный пробел (Ctrl+Shift+Space).</t>
  </si>
  <si>
    <t>Верно выбраны чанки, ответ достаточный для такой формулировки и верный.</t>
  </si>
  <si>
    <t>В заключение необходимо включить выводы по каждому этапу исследования, выполненной в работе, а также выводы по работе в целом. Оценка эффективности должна быть дана для каждого этапа и для работы в целом. Необходимо подчеркнуть научную, практическую ценность результатов работы, степень внедрения, дать рекомендации по дальнейшему совершенствованию системы, технологии, метода.
Примерно такой формат можно использовать:
1. **Этап 1:** В ходе первого этапа была проведена исследовательская работа по [описание работы на этом этапе]. Результаты показали [результаты на этом этапе], что подтверждает [дополнительные ссылки или данные, если они имеются]. На основе полученных результатов были сделаны следующие выводы: [выводы на этом этапе]. Для дальнейшего совершенствования системы рекомендуется [рекомендации на этом этапе].
2. **Этап 2:** В ходе второго этапа была проведена исследовательская работа по [описание работы на этом этапе]. Результаты показали [результаты на этом этапе], что подтверждает [дополнительные ссылки или данные, если они имеются]. На основе полученных результатов были сделаны следующие выводы: [выводы на этом этапе]. Для дальнейшего совершенствования системы рекомендуется [рекомендации на этом этапе].
3. **Работа в целом:** В ходе всей работы были получены следующие результаты: [общие результаты работы]. Эти результаты подтверждают [дополнительные ссылки или данные, если они имеются]. На основе полученных результатов были сделаны следующие выводы: [выводы по работе в целом]. Для дальнейшего совершенствования системы рекомендуется [общая рекомендация по всей работе].
Все выводы должны быть подкреплены достаточными данными и аргументами, а также ссылками на литературу или другие источники, если они имеются.</t>
  </si>
  <si>
    <t>Ответ верный, дополнительная информация логически верная и не делает ответ неверным, но все равно лишняя.</t>
  </si>
  <si>
    <t>В заключении курсовой работе или дипломной работе по российскому образованию должен содержаться:
1. Выводы по каждому этапу (задаче исследования), выполненной в работе, которые должны включать результаты полученные во время исследований и их анализ.
2. Выводы по работе в целом, который должен содержать общую оценку результатов и их значимость для решения задачи исследования.
3. Оценку эффективности, которая должна включать сравнение полученных результатов с предполагаемыми или известными результатами других работ в области.
4. Подчеркнуть научную, практическую ценность результатов работы, степень внедрения, дать рекомендации по дальнейшему совершенствованию системы, технологии, метода.
Все выводы должны быть обоснованы и подкреплены доказательствами из работы.</t>
  </si>
  <si>
    <t>Ответ в целом верный, в этот раз формулировка, приближенная к оригинальному тексту, позволила избежать избыточной генерации.</t>
  </si>
  <si>
    <t xml:space="preserve"> В соответствии с указанным описанием, требования к докладу и презентации следующие:
1. Доклад должен сопровождаться иллюстрированными материалами (таблицами, чертежами, схемами, графиками, фотографиями), без которых невозможно понимание текста, не более 20 штук.
2. Слайды должны быть пронумерованы.
3. В докладе и презентации следует содержать:
   - Постановка задачи с формулировкой отдельных пунктов, подлежащих решению (1 – 1,5 мин.).
   - Объяснение решённых задач, описание полученных решений (4 – 5 мин.).
   - Демонстрация разработанного макета, устройства, средств, программы (1 мин.).
   - Заключение, выводы (по пунктам) (1 – 1,5 мин.).
4. В заключении должны содержаться выводы по каждому этапу (задаче исследования), выполненной в работе, выводы по работе в целом и оценку эффективности. Необходимо подчеркнуть научную, практическую ценность результатов работы, степень внедрения, дать рекомендации по дальнейшему совершенствованию системы, технологии, метода.
5. Пример содержания заключения приведен в приложении Л.</t>
  </si>
  <si>
    <t>Ответ верный и полный, без избыточной генерации.</t>
  </si>
</sst>
</file>

<file path=xl/styles.xml><?xml version="1.0" encoding="utf-8"?>
<styleSheet xmlns="http://schemas.openxmlformats.org/spreadsheetml/2006/main" xmlns:mc="http://schemas.openxmlformats.org/markup-compatibility/2006" xmlns:x14ac="http://schemas.microsoft.com/office/spreadsheetml/2009/9/ac" mc:Ignorable="x14ac">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cellXfs>
  <cellStyles count="1">
    <cellStyle name="Обычный"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8"/>
  <sheetViews>
    <sheetView workbookViewId="0">
      <selection activeCell="B1" sqref="B1:H2"/>
    </sheetView>
  </sheetViews>
  <sheetFormatPr defaultRowHeight="15" x14ac:dyDescent="0.25"/>
  <cols>
    <col min="1" max="1" width="37.42578125" customWidth="1"/>
    <col min="2" max="2" width="114.140625" customWidth="1"/>
    <col min="3" max="3" width="18.7109375" customWidth="1"/>
    <col min="4" max="4" width="17.42578125" customWidth="1"/>
    <col min="5" max="5" width="7.5703125" customWidth="1"/>
    <col min="6" max="6" width="43.5703125" customWidth="1"/>
    <col min="7" max="7" width="9.42578125" customWidth="1"/>
    <col min="8" max="8" width="14.5703125" customWidth="1"/>
  </cols>
  <sheetData>
    <row r="1" spans="1:8" ht="44.25" customHeight="1" x14ac:dyDescent="0.25">
      <c r="A1" s="2" t="s">
        <v>0</v>
      </c>
      <c r="B1" s="3" t="s">
        <v>7</v>
      </c>
      <c r="C1" s="1" t="s">
        <v>75</v>
      </c>
      <c r="D1" s="1" t="s">
        <v>76</v>
      </c>
      <c r="E1" s="1" t="s">
        <v>8</v>
      </c>
      <c r="F1" s="2" t="s">
        <v>1</v>
      </c>
      <c r="G1" s="2"/>
      <c r="H1" s="1" t="s">
        <v>74</v>
      </c>
    </row>
    <row r="2" spans="1:8" ht="48" customHeight="1" x14ac:dyDescent="0.25">
      <c r="A2" s="2" t="s">
        <v>2</v>
      </c>
      <c r="B2" s="2" t="s">
        <v>9</v>
      </c>
      <c r="C2" s="1">
        <v>2</v>
      </c>
      <c r="D2" s="1">
        <v>1</v>
      </c>
      <c r="E2" s="1">
        <f>C2+D2</f>
        <v>3</v>
      </c>
      <c r="F2" s="2" t="s">
        <v>11</v>
      </c>
      <c r="G2" s="2"/>
      <c r="H2">
        <f>(AVERAGE(E:E))*100/4</f>
        <v>66.666666666666657</v>
      </c>
    </row>
    <row r="3" spans="1:8" ht="76.5" customHeight="1" x14ac:dyDescent="0.25">
      <c r="A3" s="2" t="s">
        <v>5</v>
      </c>
      <c r="B3" s="2" t="s">
        <v>10</v>
      </c>
      <c r="C3" s="1">
        <v>2</v>
      </c>
      <c r="D3" s="1">
        <v>2</v>
      </c>
      <c r="E3" s="1">
        <f t="shared" ref="E3:E25" si="0">C3+D3</f>
        <v>4</v>
      </c>
      <c r="F3" s="2" t="s">
        <v>12</v>
      </c>
      <c r="G3" s="2"/>
    </row>
    <row r="4" spans="1:8" ht="78.75" customHeight="1" x14ac:dyDescent="0.25">
      <c r="A4" s="2" t="s">
        <v>3</v>
      </c>
      <c r="B4" s="2" t="s">
        <v>13</v>
      </c>
      <c r="C4" s="1">
        <v>0</v>
      </c>
      <c r="D4" s="1">
        <v>0</v>
      </c>
      <c r="E4" s="1">
        <f t="shared" si="0"/>
        <v>0</v>
      </c>
      <c r="F4" s="2" t="s">
        <v>14</v>
      </c>
      <c r="G4" s="2"/>
    </row>
    <row r="5" spans="1:8" ht="94.5" customHeight="1" x14ac:dyDescent="0.25">
      <c r="A5" s="2" t="s">
        <v>6</v>
      </c>
      <c r="B5" s="2" t="s">
        <v>15</v>
      </c>
      <c r="C5" s="1">
        <v>0</v>
      </c>
      <c r="D5" s="1">
        <v>2</v>
      </c>
      <c r="E5" s="1">
        <f t="shared" si="0"/>
        <v>2</v>
      </c>
      <c r="F5" s="2" t="s">
        <v>16</v>
      </c>
      <c r="G5" s="2"/>
    </row>
    <row r="6" spans="1:8" ht="91.5" customHeight="1" x14ac:dyDescent="0.25">
      <c r="A6" s="2" t="s">
        <v>4</v>
      </c>
      <c r="B6" s="2" t="s">
        <v>17</v>
      </c>
      <c r="C6" s="1">
        <v>1</v>
      </c>
      <c r="D6" s="1">
        <v>2</v>
      </c>
      <c r="E6" s="1">
        <f t="shared" si="0"/>
        <v>3</v>
      </c>
      <c r="F6" s="2" t="s">
        <v>18</v>
      </c>
      <c r="G6" s="2"/>
    </row>
    <row r="7" spans="1:8" ht="38.25" customHeight="1" x14ac:dyDescent="0.25">
      <c r="A7" s="2" t="s">
        <v>19</v>
      </c>
      <c r="B7" s="2" t="s">
        <v>20</v>
      </c>
      <c r="C7" s="1">
        <v>2</v>
      </c>
      <c r="D7" s="1">
        <v>2</v>
      </c>
      <c r="E7" s="1">
        <f t="shared" si="0"/>
        <v>4</v>
      </c>
      <c r="F7" s="2" t="s">
        <v>21</v>
      </c>
      <c r="G7" s="2"/>
    </row>
    <row r="8" spans="1:8" ht="163.5" customHeight="1" x14ac:dyDescent="0.25">
      <c r="A8" s="2" t="s">
        <v>22</v>
      </c>
      <c r="B8" s="2" t="s">
        <v>23</v>
      </c>
      <c r="C8" s="1">
        <v>2</v>
      </c>
      <c r="D8" s="1">
        <v>2</v>
      </c>
      <c r="E8" s="1">
        <f t="shared" si="0"/>
        <v>4</v>
      </c>
      <c r="F8" s="2" t="s">
        <v>21</v>
      </c>
      <c r="G8" s="2"/>
    </row>
    <row r="9" spans="1:8" ht="320.25" customHeight="1" x14ac:dyDescent="0.25">
      <c r="A9" s="2" t="s">
        <v>24</v>
      </c>
      <c r="B9" s="2" t="s">
        <v>25</v>
      </c>
      <c r="C9" s="1">
        <v>2</v>
      </c>
      <c r="D9" s="1">
        <v>1</v>
      </c>
      <c r="E9" s="1">
        <f t="shared" si="0"/>
        <v>3</v>
      </c>
      <c r="F9" s="2" t="s">
        <v>26</v>
      </c>
      <c r="G9" s="2"/>
    </row>
    <row r="10" spans="1:8" ht="215.25" customHeight="1" x14ac:dyDescent="0.25">
      <c r="A10" s="2" t="s">
        <v>27</v>
      </c>
      <c r="B10" s="2" t="s">
        <v>28</v>
      </c>
      <c r="C10" s="1">
        <v>0</v>
      </c>
      <c r="D10" s="1">
        <v>2</v>
      </c>
      <c r="E10" s="1">
        <f t="shared" si="0"/>
        <v>2</v>
      </c>
      <c r="F10" s="2" t="s">
        <v>29</v>
      </c>
      <c r="G10" s="2"/>
    </row>
    <row r="11" spans="1:8" ht="153" customHeight="1" x14ac:dyDescent="0.25">
      <c r="A11" s="2" t="s">
        <v>30</v>
      </c>
      <c r="B11" s="2" t="s">
        <v>31</v>
      </c>
      <c r="C11" s="1">
        <v>0</v>
      </c>
      <c r="D11" s="1">
        <v>2</v>
      </c>
      <c r="E11" s="1">
        <f t="shared" si="0"/>
        <v>2</v>
      </c>
      <c r="F11" s="2" t="s">
        <v>32</v>
      </c>
      <c r="G11" s="2"/>
    </row>
    <row r="12" spans="1:8" ht="288.75" customHeight="1" x14ac:dyDescent="0.25">
      <c r="A12" s="2" t="s">
        <v>33</v>
      </c>
      <c r="B12" s="2" t="s">
        <v>34</v>
      </c>
      <c r="C12" s="1">
        <v>1</v>
      </c>
      <c r="D12" s="1">
        <v>2</v>
      </c>
      <c r="E12" s="1">
        <f t="shared" si="0"/>
        <v>3</v>
      </c>
      <c r="F12" s="2" t="s">
        <v>35</v>
      </c>
      <c r="G12" s="2"/>
    </row>
    <row r="13" spans="1:8" ht="79.5" customHeight="1" x14ac:dyDescent="0.25">
      <c r="A13" s="2" t="s">
        <v>36</v>
      </c>
      <c r="B13" s="2" t="s">
        <v>37</v>
      </c>
      <c r="C13" s="1">
        <v>1</v>
      </c>
      <c r="D13" s="1">
        <v>2</v>
      </c>
      <c r="E13" s="1">
        <f t="shared" si="0"/>
        <v>3</v>
      </c>
      <c r="F13" s="2" t="s">
        <v>38</v>
      </c>
      <c r="G13" s="2"/>
    </row>
    <row r="14" spans="1:8" ht="300" customHeight="1" x14ac:dyDescent="0.25">
      <c r="A14" s="2" t="s">
        <v>39</v>
      </c>
      <c r="B14" s="2" t="s">
        <v>40</v>
      </c>
      <c r="C14" s="1">
        <v>0</v>
      </c>
      <c r="D14" s="1">
        <v>2</v>
      </c>
      <c r="E14" s="1">
        <f t="shared" si="0"/>
        <v>2</v>
      </c>
      <c r="F14" s="2" t="s">
        <v>41</v>
      </c>
      <c r="G14" s="2"/>
    </row>
    <row r="15" spans="1:8" ht="391.5" customHeight="1" x14ac:dyDescent="0.25">
      <c r="A15" s="2" t="s">
        <v>43</v>
      </c>
      <c r="B15" s="2" t="s">
        <v>42</v>
      </c>
      <c r="C15" s="1">
        <v>2</v>
      </c>
      <c r="D15" s="1">
        <v>1.5</v>
      </c>
      <c r="E15" s="1">
        <f t="shared" si="0"/>
        <v>3.5</v>
      </c>
      <c r="F15" s="2" t="s">
        <v>44</v>
      </c>
      <c r="G15" s="2"/>
    </row>
    <row r="16" spans="1:8" ht="263.25" customHeight="1" x14ac:dyDescent="0.25">
      <c r="A16" s="2" t="s">
        <v>45</v>
      </c>
      <c r="B16" s="2" t="s">
        <v>46</v>
      </c>
      <c r="C16" s="1">
        <v>0</v>
      </c>
      <c r="D16" s="1">
        <v>2</v>
      </c>
      <c r="E16" s="1">
        <f t="shared" si="0"/>
        <v>2</v>
      </c>
      <c r="F16" s="2" t="s">
        <v>47</v>
      </c>
      <c r="G16" s="2"/>
    </row>
    <row r="17" spans="1:8" ht="91.5" customHeight="1" x14ac:dyDescent="0.25">
      <c r="A17" s="2" t="s">
        <v>48</v>
      </c>
      <c r="B17" s="2" t="s">
        <v>49</v>
      </c>
      <c r="C17" s="1">
        <v>1</v>
      </c>
      <c r="D17" s="1">
        <v>2</v>
      </c>
      <c r="E17" s="1">
        <f t="shared" si="0"/>
        <v>3</v>
      </c>
      <c r="F17" s="2" t="s">
        <v>50</v>
      </c>
      <c r="G17" s="2"/>
    </row>
    <row r="18" spans="1:8" ht="153" customHeight="1" x14ac:dyDescent="0.25">
      <c r="A18" s="2" t="s">
        <v>51</v>
      </c>
      <c r="B18" s="2" t="s">
        <v>52</v>
      </c>
      <c r="C18" s="1">
        <v>2</v>
      </c>
      <c r="D18" s="1">
        <v>2</v>
      </c>
      <c r="E18" s="1">
        <f t="shared" si="0"/>
        <v>4</v>
      </c>
      <c r="F18" s="2" t="s">
        <v>53</v>
      </c>
      <c r="G18" s="2"/>
    </row>
    <row r="19" spans="1:8" ht="108.75" customHeight="1" x14ac:dyDescent="0.25">
      <c r="A19" s="2" t="s">
        <v>54</v>
      </c>
      <c r="B19" s="2" t="s">
        <v>55</v>
      </c>
      <c r="C19" s="1">
        <v>0</v>
      </c>
      <c r="D19" s="1">
        <v>2</v>
      </c>
      <c r="E19" s="1">
        <f t="shared" si="0"/>
        <v>2</v>
      </c>
      <c r="F19" s="2" t="s">
        <v>56</v>
      </c>
      <c r="G19" s="2"/>
    </row>
    <row r="20" spans="1:8" ht="50.25" customHeight="1" x14ac:dyDescent="0.25">
      <c r="A20" s="2" t="s">
        <v>57</v>
      </c>
      <c r="B20" s="2" t="s">
        <v>59</v>
      </c>
      <c r="C20" s="1">
        <v>2</v>
      </c>
      <c r="D20" s="1">
        <v>2</v>
      </c>
      <c r="E20" s="1">
        <f t="shared" si="0"/>
        <v>4</v>
      </c>
      <c r="F20" s="2" t="s">
        <v>58</v>
      </c>
      <c r="G20" s="2"/>
    </row>
    <row r="21" spans="1:8" ht="288" customHeight="1" x14ac:dyDescent="0.25">
      <c r="A21" s="2" t="s">
        <v>60</v>
      </c>
      <c r="B21" s="2" t="s">
        <v>61</v>
      </c>
      <c r="C21" s="1">
        <v>1</v>
      </c>
      <c r="D21" s="1">
        <v>1</v>
      </c>
      <c r="E21" s="1">
        <f t="shared" si="0"/>
        <v>2</v>
      </c>
      <c r="F21" s="2" t="s">
        <v>62</v>
      </c>
      <c r="G21" s="2"/>
    </row>
    <row r="22" spans="1:8" ht="306" customHeight="1" x14ac:dyDescent="0.25">
      <c r="A22" s="2" t="s">
        <v>63</v>
      </c>
      <c r="B22" s="2" t="s">
        <v>64</v>
      </c>
      <c r="C22" s="1">
        <v>1.5</v>
      </c>
      <c r="D22" s="1">
        <v>1</v>
      </c>
      <c r="E22" s="1">
        <f t="shared" si="0"/>
        <v>2.5</v>
      </c>
      <c r="F22" s="2" t="s">
        <v>65</v>
      </c>
      <c r="G22" s="2"/>
    </row>
    <row r="23" spans="1:8" ht="94.5" customHeight="1" x14ac:dyDescent="0.25">
      <c r="A23" s="2" t="s">
        <v>66</v>
      </c>
      <c r="B23" s="2" t="s">
        <v>67</v>
      </c>
      <c r="C23" s="1">
        <v>0</v>
      </c>
      <c r="D23" s="1">
        <v>2</v>
      </c>
      <c r="E23" s="1">
        <f t="shared" si="0"/>
        <v>2</v>
      </c>
      <c r="F23" s="2" t="s">
        <v>69</v>
      </c>
      <c r="G23" s="2"/>
    </row>
    <row r="24" spans="1:8" ht="291" customHeight="1" x14ac:dyDescent="0.25">
      <c r="A24" s="2" t="s">
        <v>70</v>
      </c>
      <c r="B24" s="2" t="s">
        <v>68</v>
      </c>
      <c r="C24" s="1">
        <v>1</v>
      </c>
      <c r="D24" s="1">
        <v>1</v>
      </c>
      <c r="E24" s="1">
        <f t="shared" si="0"/>
        <v>2</v>
      </c>
      <c r="F24" s="2" t="s">
        <v>71</v>
      </c>
      <c r="G24" s="2"/>
    </row>
    <row r="25" spans="1:8" ht="195" x14ac:dyDescent="0.25">
      <c r="A25" s="2" t="s">
        <v>72</v>
      </c>
      <c r="B25" s="2" t="s">
        <v>73</v>
      </c>
      <c r="C25" s="1">
        <v>1</v>
      </c>
      <c r="D25" s="1">
        <v>1</v>
      </c>
      <c r="E25" s="1">
        <f t="shared" si="0"/>
        <v>2</v>
      </c>
      <c r="F25" s="2" t="s">
        <v>77</v>
      </c>
      <c r="G25" s="2"/>
    </row>
    <row r="26" spans="1:8" x14ac:dyDescent="0.25">
      <c r="A26" s="2"/>
      <c r="B26" s="2"/>
      <c r="C26" s="1"/>
      <c r="D26" s="1"/>
      <c r="E26" s="1"/>
      <c r="F26" s="1"/>
      <c r="G26" s="2"/>
      <c r="H26" s="2"/>
    </row>
    <row r="27" spans="1:8" x14ac:dyDescent="0.25">
      <c r="A27" s="2"/>
      <c r="B27" s="2"/>
      <c r="C27" s="1"/>
      <c r="D27" s="1"/>
      <c r="E27" s="1"/>
      <c r="F27" s="1"/>
      <c r="G27" s="2"/>
      <c r="H27" s="2"/>
    </row>
    <row r="28" spans="1:8" x14ac:dyDescent="0.25">
      <c r="A28" s="2"/>
      <c r="B28" s="2"/>
      <c r="C28" s="1"/>
      <c r="D28" s="1"/>
      <c r="E28" s="1"/>
      <c r="F28" s="1"/>
      <c r="G28" s="2"/>
      <c r="H28" s="2"/>
    </row>
    <row r="29" spans="1:8" x14ac:dyDescent="0.25">
      <c r="A29" s="2"/>
      <c r="B29" s="2"/>
      <c r="C29" s="1"/>
      <c r="D29" s="1"/>
      <c r="E29" s="1"/>
      <c r="F29" s="1"/>
      <c r="G29" s="2"/>
      <c r="H29" s="2"/>
    </row>
    <row r="30" spans="1:8" x14ac:dyDescent="0.25">
      <c r="A30" s="2"/>
      <c r="B30" s="2"/>
      <c r="C30" s="1"/>
      <c r="D30" s="1"/>
      <c r="E30" s="1"/>
      <c r="F30" s="1"/>
      <c r="G30" s="2"/>
      <c r="H30" s="2"/>
    </row>
    <row r="31" spans="1:8" x14ac:dyDescent="0.25">
      <c r="A31" s="2"/>
      <c r="B31" s="2"/>
      <c r="C31" s="1"/>
      <c r="D31" s="1"/>
      <c r="E31" s="1"/>
      <c r="F31" s="1"/>
    </row>
    <row r="32" spans="1:8" x14ac:dyDescent="0.25">
      <c r="A32" s="2"/>
      <c r="B32" s="2"/>
      <c r="C32" s="1"/>
      <c r="D32" s="1"/>
      <c r="E32" s="1"/>
      <c r="F32" s="1"/>
    </row>
    <row r="33" spans="1:6" x14ac:dyDescent="0.25">
      <c r="A33" s="1"/>
      <c r="B33" s="1"/>
      <c r="C33" s="1"/>
      <c r="D33" s="1"/>
      <c r="E33" s="1"/>
      <c r="F33" s="1"/>
    </row>
    <row r="34" spans="1:6" x14ac:dyDescent="0.25">
      <c r="A34" s="1"/>
      <c r="B34" s="1"/>
      <c r="C34" s="1"/>
      <c r="D34" s="1"/>
      <c r="E34" s="1"/>
      <c r="F34" s="1"/>
    </row>
    <row r="35" spans="1:6" x14ac:dyDescent="0.25">
      <c r="A35" s="1"/>
      <c r="B35" s="1"/>
      <c r="C35" s="1"/>
      <c r="D35" s="1"/>
      <c r="E35" s="1"/>
      <c r="F35" s="1"/>
    </row>
    <row r="36" spans="1:6" x14ac:dyDescent="0.25">
      <c r="A36" s="1"/>
      <c r="B36" s="1"/>
      <c r="C36" s="1"/>
      <c r="D36" s="1"/>
      <c r="E36" s="1"/>
      <c r="F36" s="1"/>
    </row>
    <row r="37" spans="1:6" x14ac:dyDescent="0.25">
      <c r="A37" s="1"/>
      <c r="B37" s="1"/>
      <c r="C37" s="1"/>
      <c r="D37" s="1"/>
      <c r="E37" s="1"/>
      <c r="F37" s="1"/>
    </row>
    <row r="38" spans="1:6" x14ac:dyDescent="0.25">
      <c r="A38" s="1"/>
      <c r="B38" s="1"/>
      <c r="C38" s="1"/>
      <c r="D38" s="1"/>
      <c r="E38" s="1"/>
      <c r="F38"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5"/>
  <sheetViews>
    <sheetView tabSelected="1" workbookViewId="0">
      <selection activeCell="G26" sqref="G26"/>
    </sheetView>
  </sheetViews>
  <sheetFormatPr defaultRowHeight="15" x14ac:dyDescent="0.25"/>
  <cols>
    <col min="1" max="1" width="41.5703125" customWidth="1"/>
    <col min="2" max="2" width="107.28515625" customWidth="1"/>
    <col min="3" max="4" width="11.28515625" customWidth="1"/>
    <col min="6" max="6" width="7.42578125" customWidth="1"/>
    <col min="7" max="7" width="29.28515625" customWidth="1"/>
  </cols>
  <sheetData>
    <row r="1" spans="1:9" ht="60" x14ac:dyDescent="0.25">
      <c r="A1" s="2" t="s">
        <v>0</v>
      </c>
      <c r="B1" s="3" t="s">
        <v>7</v>
      </c>
      <c r="C1" s="1" t="s">
        <v>78</v>
      </c>
      <c r="D1" s="1" t="s">
        <v>80</v>
      </c>
      <c r="E1" s="1" t="s">
        <v>79</v>
      </c>
      <c r="F1" s="1" t="s">
        <v>8</v>
      </c>
      <c r="G1" s="2" t="s">
        <v>1</v>
      </c>
      <c r="H1" s="2"/>
      <c r="I1" s="1" t="s">
        <v>74</v>
      </c>
    </row>
    <row r="2" spans="1:9" ht="63" customHeight="1" x14ac:dyDescent="0.25">
      <c r="A2" s="2" t="s">
        <v>2</v>
      </c>
      <c r="B2" s="2" t="s">
        <v>81</v>
      </c>
      <c r="C2" s="1">
        <v>3</v>
      </c>
      <c r="D2">
        <v>2</v>
      </c>
      <c r="E2" s="1">
        <v>2</v>
      </c>
      <c r="F2" s="1">
        <f>C2+D2+E2</f>
        <v>7</v>
      </c>
      <c r="G2" s="2" t="s">
        <v>82</v>
      </c>
      <c r="H2" s="2"/>
      <c r="I2">
        <f>(AVERAGE(F:F))*100/8</f>
        <v>70.572916666666657</v>
      </c>
    </row>
    <row r="3" spans="1:9" ht="167.25" customHeight="1" x14ac:dyDescent="0.25">
      <c r="A3" s="2" t="s">
        <v>5</v>
      </c>
      <c r="B3" s="1" t="s">
        <v>83</v>
      </c>
      <c r="C3">
        <v>3</v>
      </c>
      <c r="D3">
        <v>1</v>
      </c>
      <c r="E3">
        <v>2</v>
      </c>
      <c r="F3" s="1">
        <f t="shared" ref="F3:F25" si="0">C3+D3+E3</f>
        <v>6</v>
      </c>
      <c r="G3" s="2" t="s">
        <v>84</v>
      </c>
    </row>
    <row r="4" spans="1:9" ht="165" x14ac:dyDescent="0.25">
      <c r="A4" s="2" t="s">
        <v>3</v>
      </c>
      <c r="B4" s="1" t="s">
        <v>85</v>
      </c>
      <c r="C4">
        <v>0</v>
      </c>
      <c r="D4">
        <v>1</v>
      </c>
      <c r="E4">
        <v>1</v>
      </c>
      <c r="F4" s="1">
        <f t="shared" si="0"/>
        <v>2</v>
      </c>
      <c r="G4" s="2" t="s">
        <v>86</v>
      </c>
    </row>
    <row r="5" spans="1:9" ht="285" x14ac:dyDescent="0.25">
      <c r="A5" s="2" t="s">
        <v>6</v>
      </c>
      <c r="B5" s="1" t="s">
        <v>87</v>
      </c>
      <c r="C5">
        <v>2</v>
      </c>
      <c r="D5">
        <v>0</v>
      </c>
      <c r="E5">
        <v>2</v>
      </c>
      <c r="F5" s="1">
        <f t="shared" si="0"/>
        <v>4</v>
      </c>
      <c r="G5" s="2" t="s">
        <v>88</v>
      </c>
    </row>
    <row r="6" spans="1:9" ht="223.5" customHeight="1" x14ac:dyDescent="0.25">
      <c r="A6" s="2" t="s">
        <v>4</v>
      </c>
      <c r="B6" s="1" t="s">
        <v>89</v>
      </c>
      <c r="C6">
        <v>0</v>
      </c>
      <c r="D6">
        <v>0</v>
      </c>
      <c r="E6">
        <v>0</v>
      </c>
      <c r="F6" s="1">
        <f t="shared" si="0"/>
        <v>0</v>
      </c>
      <c r="G6" s="2" t="s">
        <v>90</v>
      </c>
    </row>
    <row r="7" spans="1:9" ht="45" x14ac:dyDescent="0.25">
      <c r="A7" s="2" t="s">
        <v>19</v>
      </c>
      <c r="B7" s="2" t="s">
        <v>91</v>
      </c>
      <c r="C7">
        <v>3</v>
      </c>
      <c r="D7">
        <v>1</v>
      </c>
      <c r="E7">
        <v>2</v>
      </c>
      <c r="F7" s="1">
        <f t="shared" si="0"/>
        <v>6</v>
      </c>
      <c r="G7" s="2" t="s">
        <v>92</v>
      </c>
    </row>
    <row r="8" spans="1:9" ht="222" customHeight="1" x14ac:dyDescent="0.25">
      <c r="A8" s="2" t="s">
        <v>22</v>
      </c>
      <c r="B8" s="2" t="s">
        <v>93</v>
      </c>
      <c r="C8">
        <v>3</v>
      </c>
      <c r="D8">
        <v>1</v>
      </c>
      <c r="E8">
        <v>3</v>
      </c>
      <c r="F8" s="1">
        <f t="shared" si="0"/>
        <v>7</v>
      </c>
      <c r="G8" s="2" t="s">
        <v>94</v>
      </c>
    </row>
    <row r="9" spans="1:9" ht="409.5" x14ac:dyDescent="0.25">
      <c r="A9" s="2" t="s">
        <v>24</v>
      </c>
      <c r="B9" s="1" t="s">
        <v>95</v>
      </c>
      <c r="C9">
        <v>3</v>
      </c>
      <c r="D9">
        <v>1</v>
      </c>
      <c r="E9">
        <v>1</v>
      </c>
      <c r="F9" s="1">
        <f t="shared" si="0"/>
        <v>5</v>
      </c>
      <c r="G9" s="2" t="s">
        <v>96</v>
      </c>
    </row>
    <row r="10" spans="1:9" ht="195" x14ac:dyDescent="0.25">
      <c r="A10" s="2" t="s">
        <v>27</v>
      </c>
      <c r="B10" s="1" t="s">
        <v>97</v>
      </c>
      <c r="C10">
        <v>3</v>
      </c>
      <c r="D10">
        <v>1</v>
      </c>
      <c r="E10">
        <v>1</v>
      </c>
      <c r="F10" s="1">
        <f t="shared" si="0"/>
        <v>5</v>
      </c>
      <c r="G10" s="2" t="s">
        <v>98</v>
      </c>
    </row>
    <row r="11" spans="1:9" ht="60" x14ac:dyDescent="0.25">
      <c r="A11" s="2" t="s">
        <v>30</v>
      </c>
      <c r="B11" s="1" t="s">
        <v>99</v>
      </c>
      <c r="C11">
        <v>3</v>
      </c>
      <c r="D11">
        <v>1</v>
      </c>
      <c r="E11">
        <v>0</v>
      </c>
      <c r="F11" s="1">
        <f t="shared" si="0"/>
        <v>4</v>
      </c>
      <c r="G11" s="2" t="s">
        <v>98</v>
      </c>
    </row>
    <row r="12" spans="1:9" ht="75" x14ac:dyDescent="0.25">
      <c r="A12" s="2" t="s">
        <v>33</v>
      </c>
      <c r="B12" s="1" t="s">
        <v>100</v>
      </c>
      <c r="C12">
        <v>3</v>
      </c>
      <c r="D12">
        <v>2</v>
      </c>
      <c r="E12">
        <v>3</v>
      </c>
      <c r="F12" s="1">
        <f t="shared" si="0"/>
        <v>8</v>
      </c>
      <c r="G12" s="2" t="s">
        <v>101</v>
      </c>
    </row>
    <row r="13" spans="1:9" ht="105" x14ac:dyDescent="0.25">
      <c r="A13" s="2" t="s">
        <v>36</v>
      </c>
      <c r="B13" s="1" t="s">
        <v>102</v>
      </c>
      <c r="C13">
        <v>3</v>
      </c>
      <c r="D13">
        <v>1</v>
      </c>
      <c r="E13">
        <v>3</v>
      </c>
      <c r="F13" s="1">
        <f t="shared" si="0"/>
        <v>7</v>
      </c>
      <c r="G13" s="2" t="s">
        <v>101</v>
      </c>
    </row>
    <row r="14" spans="1:9" ht="390" x14ac:dyDescent="0.25">
      <c r="A14" s="2" t="s">
        <v>39</v>
      </c>
      <c r="B14" s="1" t="s">
        <v>103</v>
      </c>
      <c r="C14">
        <v>3</v>
      </c>
      <c r="D14">
        <v>1</v>
      </c>
      <c r="E14">
        <v>1</v>
      </c>
      <c r="F14" s="1">
        <f t="shared" si="0"/>
        <v>5</v>
      </c>
      <c r="G14" s="2" t="s">
        <v>104</v>
      </c>
    </row>
    <row r="15" spans="1:9" ht="409.5" x14ac:dyDescent="0.25">
      <c r="A15" s="2" t="s">
        <v>43</v>
      </c>
      <c r="B15" s="1" t="s">
        <v>105</v>
      </c>
      <c r="C15">
        <v>3</v>
      </c>
      <c r="D15">
        <v>1</v>
      </c>
      <c r="E15">
        <v>1</v>
      </c>
      <c r="F15" s="1">
        <f t="shared" si="0"/>
        <v>5</v>
      </c>
      <c r="G15" s="2" t="s">
        <v>106</v>
      </c>
    </row>
    <row r="16" spans="1:9" ht="409.5" x14ac:dyDescent="0.25">
      <c r="A16" s="2" t="s">
        <v>45</v>
      </c>
      <c r="B16" s="1" t="s">
        <v>107</v>
      </c>
      <c r="C16">
        <v>3</v>
      </c>
      <c r="D16">
        <v>1</v>
      </c>
      <c r="E16">
        <v>3</v>
      </c>
      <c r="F16" s="1">
        <f t="shared" si="0"/>
        <v>7</v>
      </c>
      <c r="G16" s="2" t="s">
        <v>109</v>
      </c>
    </row>
    <row r="17" spans="1:7" ht="120" x14ac:dyDescent="0.25">
      <c r="A17" s="2" t="s">
        <v>48</v>
      </c>
      <c r="B17" s="1" t="s">
        <v>108</v>
      </c>
      <c r="C17">
        <v>3</v>
      </c>
      <c r="D17">
        <v>2</v>
      </c>
      <c r="E17">
        <v>2</v>
      </c>
      <c r="F17" s="1">
        <f t="shared" si="0"/>
        <v>7</v>
      </c>
      <c r="G17" s="2" t="s">
        <v>110</v>
      </c>
    </row>
    <row r="18" spans="1:7" ht="285" x14ac:dyDescent="0.25">
      <c r="A18" s="2" t="s">
        <v>51</v>
      </c>
      <c r="B18" s="1" t="s">
        <v>111</v>
      </c>
      <c r="C18">
        <v>3</v>
      </c>
      <c r="D18">
        <v>2</v>
      </c>
      <c r="E18">
        <v>3</v>
      </c>
      <c r="F18" s="1">
        <f t="shared" si="0"/>
        <v>8</v>
      </c>
      <c r="G18" s="2" t="s">
        <v>112</v>
      </c>
    </row>
    <row r="19" spans="1:7" ht="180" x14ac:dyDescent="0.25">
      <c r="A19" s="2" t="s">
        <v>54</v>
      </c>
      <c r="B19" s="1" t="s">
        <v>113</v>
      </c>
      <c r="C19">
        <v>3</v>
      </c>
      <c r="D19">
        <v>0</v>
      </c>
      <c r="E19">
        <v>0</v>
      </c>
      <c r="F19" s="1">
        <f t="shared" si="0"/>
        <v>3</v>
      </c>
      <c r="G19" s="2" t="s">
        <v>114</v>
      </c>
    </row>
    <row r="20" spans="1:7" ht="120" x14ac:dyDescent="0.25">
      <c r="A20" s="2" t="s">
        <v>57</v>
      </c>
      <c r="B20" s="1" t="s">
        <v>115</v>
      </c>
      <c r="C20">
        <v>3</v>
      </c>
      <c r="D20">
        <v>1</v>
      </c>
      <c r="E20">
        <v>0</v>
      </c>
      <c r="F20" s="1">
        <f t="shared" si="0"/>
        <v>4</v>
      </c>
      <c r="G20" s="2" t="s">
        <v>116</v>
      </c>
    </row>
    <row r="21" spans="1:7" ht="409.5" x14ac:dyDescent="0.25">
      <c r="A21" s="2" t="s">
        <v>60</v>
      </c>
      <c r="B21" s="1" t="s">
        <v>117</v>
      </c>
      <c r="C21">
        <v>3</v>
      </c>
      <c r="D21">
        <v>1</v>
      </c>
      <c r="E21">
        <v>2.5</v>
      </c>
      <c r="F21" s="1">
        <f t="shared" si="0"/>
        <v>6.5</v>
      </c>
      <c r="G21" s="2" t="s">
        <v>118</v>
      </c>
    </row>
    <row r="22" spans="1:7" ht="105" x14ac:dyDescent="0.25">
      <c r="A22" s="2" t="s">
        <v>63</v>
      </c>
      <c r="B22" s="1" t="s">
        <v>119</v>
      </c>
      <c r="C22">
        <v>3</v>
      </c>
      <c r="D22">
        <v>2</v>
      </c>
      <c r="E22">
        <v>3</v>
      </c>
      <c r="F22" s="1">
        <f t="shared" si="0"/>
        <v>8</v>
      </c>
      <c r="G22" s="2" t="s">
        <v>120</v>
      </c>
    </row>
    <row r="23" spans="1:7" ht="330" x14ac:dyDescent="0.25">
      <c r="A23" s="2" t="s">
        <v>66</v>
      </c>
      <c r="B23" s="1" t="s">
        <v>121</v>
      </c>
      <c r="C23">
        <v>3</v>
      </c>
      <c r="D23">
        <v>2</v>
      </c>
      <c r="E23">
        <v>2</v>
      </c>
      <c r="F23" s="1">
        <f t="shared" si="0"/>
        <v>7</v>
      </c>
      <c r="G23" s="2" t="s">
        <v>122</v>
      </c>
    </row>
    <row r="24" spans="1:7" ht="180" x14ac:dyDescent="0.25">
      <c r="A24" s="2" t="s">
        <v>70</v>
      </c>
      <c r="B24" s="1" t="s">
        <v>123</v>
      </c>
      <c r="C24">
        <v>3</v>
      </c>
      <c r="D24">
        <v>1</v>
      </c>
      <c r="E24">
        <v>3</v>
      </c>
      <c r="F24" s="1">
        <f t="shared" si="0"/>
        <v>7</v>
      </c>
      <c r="G24" s="2" t="s">
        <v>124</v>
      </c>
    </row>
    <row r="25" spans="1:7" ht="285" x14ac:dyDescent="0.25">
      <c r="A25" s="2" t="s">
        <v>72</v>
      </c>
      <c r="B25" s="1" t="s">
        <v>125</v>
      </c>
      <c r="C25">
        <v>3</v>
      </c>
      <c r="D25">
        <v>1</v>
      </c>
      <c r="E25">
        <v>3</v>
      </c>
      <c r="F25" s="1">
        <f t="shared" si="0"/>
        <v>7</v>
      </c>
      <c r="G25" s="2" t="s">
        <v>126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2</vt:i4>
      </vt:variant>
    </vt:vector>
  </HeadingPairs>
  <TitlesOfParts>
    <vt:vector size="2" baseType="lpstr">
      <vt:lpstr>17.02.2026(baseline)</vt:lpstr>
      <vt:lpstr>20.02.2026(baseline+ru модели)</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2026-02-20T00:20:21Z</dcterms:modified>
</cp:coreProperties>
</file>